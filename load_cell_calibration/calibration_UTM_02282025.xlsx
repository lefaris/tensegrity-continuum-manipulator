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sLabLaptop2\Box\My Box Notes\ARL\DexTeRminator\Load Cell Testing\"/>
    </mc:Choice>
  </mc:AlternateContent>
  <xr:revisionPtr revIDLastSave="0" documentId="13_ncr:1_{E3BC717D-2990-4F61-A41B-6848D54D47E1}" xr6:coauthVersionLast="47" xr6:coauthVersionMax="47" xr10:uidLastSave="{00000000-0000-0000-0000-000000000000}"/>
  <bookViews>
    <workbookView xWindow="-24630" yWindow="-1110" windowWidth="23490" windowHeight="14970" xr2:uid="{DB9D11FA-3084-4606-A329-59D5ED03D7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35" i="1"/>
  <c r="J35" i="1"/>
  <c r="I35" i="1"/>
  <c r="H35" i="1"/>
  <c r="G35" i="1"/>
  <c r="F35" i="1"/>
  <c r="E35" i="1"/>
  <c r="D35" i="1"/>
  <c r="C35" i="1"/>
  <c r="L34" i="1"/>
  <c r="K34" i="1"/>
  <c r="J34" i="1"/>
  <c r="I34" i="1"/>
  <c r="H34" i="1"/>
  <c r="G34" i="1"/>
  <c r="F34" i="1"/>
  <c r="E34" i="1"/>
  <c r="D34" i="1"/>
  <c r="C34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F32" i="1"/>
  <c r="E32" i="1"/>
  <c r="D32" i="1"/>
  <c r="C32" i="1"/>
  <c r="L31" i="1"/>
  <c r="K31" i="1"/>
  <c r="J31" i="1"/>
  <c r="I31" i="1"/>
  <c r="H31" i="1"/>
  <c r="G31" i="1"/>
  <c r="F31" i="1"/>
  <c r="E31" i="1"/>
  <c r="D31" i="1"/>
  <c r="C31" i="1"/>
  <c r="L30" i="1"/>
  <c r="K30" i="1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I12" i="2"/>
  <c r="H12" i="2"/>
  <c r="G12" i="2"/>
  <c r="F12" i="2"/>
  <c r="E12" i="2"/>
  <c r="D12" i="2"/>
  <c r="C12" i="2"/>
  <c r="I11" i="2"/>
  <c r="H11" i="2"/>
  <c r="G11" i="2"/>
  <c r="F11" i="2"/>
  <c r="E11" i="2"/>
  <c r="D11" i="2"/>
  <c r="C11" i="2"/>
  <c r="I10" i="2"/>
  <c r="H10" i="2"/>
  <c r="G10" i="2"/>
  <c r="F10" i="2"/>
  <c r="E10" i="2"/>
  <c r="D10" i="2"/>
  <c r="C10" i="2"/>
  <c r="I9" i="2"/>
  <c r="H9" i="2"/>
  <c r="G9" i="2"/>
  <c r="F9" i="2"/>
  <c r="E9" i="2"/>
  <c r="D9" i="2"/>
  <c r="C9" i="2"/>
  <c r="I8" i="2"/>
  <c r="H8" i="2"/>
  <c r="G8" i="2"/>
  <c r="F8" i="2"/>
  <c r="E8" i="2"/>
  <c r="D8" i="2"/>
  <c r="C8" i="2"/>
  <c r="I7" i="2"/>
  <c r="H7" i="2"/>
  <c r="G7" i="2"/>
  <c r="F7" i="2"/>
  <c r="E7" i="2"/>
  <c r="D7" i="2"/>
  <c r="C7" i="2"/>
  <c r="I6" i="2"/>
  <c r="H6" i="2"/>
  <c r="G6" i="2"/>
  <c r="F6" i="2"/>
  <c r="E6" i="2"/>
  <c r="D6" i="2"/>
  <c r="C6" i="2"/>
  <c r="I5" i="2"/>
  <c r="H5" i="2"/>
  <c r="G5" i="2"/>
  <c r="F5" i="2"/>
  <c r="E5" i="2"/>
  <c r="D5" i="2"/>
  <c r="C5" i="2"/>
  <c r="I4" i="2"/>
  <c r="H4" i="2"/>
  <c r="G4" i="2"/>
  <c r="F4" i="2"/>
  <c r="E4" i="2"/>
  <c r="D4" i="2"/>
  <c r="C4" i="2"/>
  <c r="I3" i="2"/>
  <c r="H3" i="2"/>
  <c r="G3" i="2"/>
  <c r="F3" i="2"/>
  <c r="E3" i="2"/>
  <c r="D3" i="2"/>
  <c r="C3" i="2"/>
  <c r="I25" i="1"/>
  <c r="I24" i="1"/>
  <c r="I23" i="1"/>
  <c r="I22" i="1"/>
  <c r="I21" i="1"/>
  <c r="I20" i="1"/>
  <c r="I19" i="1"/>
  <c r="I18" i="1"/>
  <c r="I17" i="1"/>
  <c r="I16" i="1"/>
  <c r="H25" i="1"/>
  <c r="H24" i="1"/>
  <c r="H23" i="1"/>
  <c r="H22" i="1"/>
  <c r="H21" i="1"/>
  <c r="H20" i="1"/>
  <c r="H19" i="1"/>
  <c r="H18" i="1"/>
  <c r="H17" i="1"/>
  <c r="H16" i="1"/>
  <c r="G25" i="1"/>
  <c r="G24" i="1"/>
  <c r="G23" i="1"/>
  <c r="G22" i="1"/>
  <c r="G21" i="1"/>
  <c r="G20" i="1"/>
  <c r="G19" i="1"/>
  <c r="G18" i="1"/>
  <c r="G17" i="1"/>
  <c r="G16" i="1"/>
  <c r="F25" i="1"/>
  <c r="F24" i="1"/>
  <c r="F23" i="1"/>
  <c r="F22" i="1"/>
  <c r="F21" i="1"/>
  <c r="F20" i="1"/>
  <c r="F19" i="1"/>
  <c r="F18" i="1"/>
  <c r="F17" i="1"/>
  <c r="F16" i="1"/>
  <c r="E25" i="1"/>
  <c r="E24" i="1"/>
  <c r="E23" i="1"/>
  <c r="E22" i="1"/>
  <c r="E21" i="1"/>
  <c r="E20" i="1"/>
  <c r="E19" i="1"/>
  <c r="E18" i="1"/>
  <c r="E17" i="1"/>
  <c r="E16" i="1"/>
  <c r="D25" i="1"/>
  <c r="D24" i="1"/>
  <c r="D23" i="1"/>
  <c r="D22" i="1"/>
  <c r="D21" i="1"/>
  <c r="D20" i="1"/>
  <c r="D19" i="1"/>
  <c r="D18" i="1"/>
  <c r="D17" i="1"/>
  <c r="D16" i="1"/>
  <c r="C25" i="1"/>
  <c r="C24" i="1"/>
  <c r="C23" i="1"/>
  <c r="C22" i="1"/>
  <c r="C21" i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<sst xmlns="http://schemas.openxmlformats.org/spreadsheetml/2006/main" count="112" uniqueCount="75">
  <si>
    <t>Load Cell</t>
  </si>
  <si>
    <t>Equation to be used</t>
  </si>
  <si>
    <t>weight = (voltage_reading - offset) x gain</t>
  </si>
  <si>
    <t>0lbs</t>
  </si>
  <si>
    <t>22lbs</t>
  </si>
  <si>
    <t>44lbs</t>
  </si>
  <si>
    <t>66lbs</t>
  </si>
  <si>
    <t>88lbs</t>
  </si>
  <si>
    <t>106lbs</t>
  </si>
  <si>
    <t>50lb</t>
  </si>
  <si>
    <t>945micro</t>
  </si>
  <si>
    <t>828micro</t>
  </si>
  <si>
    <t>424micro</t>
  </si>
  <si>
    <t>1.21m</t>
  </si>
  <si>
    <t>1.61m</t>
  </si>
  <si>
    <t>1.95m</t>
  </si>
  <si>
    <t>70micro</t>
  </si>
  <si>
    <t>110micro</t>
  </si>
  <si>
    <t>470micro</t>
  </si>
  <si>
    <t>860micro</t>
  </si>
  <si>
    <t>980micro</t>
  </si>
  <si>
    <t>1.27m</t>
  </si>
  <si>
    <t>1.66m</t>
  </si>
  <si>
    <t>1.98m</t>
  </si>
  <si>
    <t>392micro</t>
  </si>
  <si>
    <t>790micro</t>
  </si>
  <si>
    <t>895micro</t>
  </si>
  <si>
    <t>1.18m</t>
  </si>
  <si>
    <t>1.57m</t>
  </si>
  <si>
    <t>1.9m</t>
  </si>
  <si>
    <t>13micro</t>
  </si>
  <si>
    <t>910micro</t>
  </si>
  <si>
    <t>1.2m</t>
  </si>
  <si>
    <t>1.58m</t>
  </si>
  <si>
    <t>1.92m</t>
  </si>
  <si>
    <t>800micro</t>
  </si>
  <si>
    <t>407micro</t>
  </si>
  <si>
    <t>32micro</t>
  </si>
  <si>
    <t>1.6m</t>
  </si>
  <si>
    <t>1.93m</t>
  </si>
  <si>
    <t>455micro</t>
  </si>
  <si>
    <t>204micro</t>
  </si>
  <si>
    <t>135micro</t>
  </si>
  <si>
    <t>400micro</t>
  </si>
  <si>
    <t>160micro</t>
  </si>
  <si>
    <t>550micro</t>
  </si>
  <si>
    <t>950micro</t>
  </si>
  <si>
    <t>1.06m</t>
  </si>
  <si>
    <t>1.35m</t>
  </si>
  <si>
    <t>1.75m</t>
  </si>
  <si>
    <t>2.08m</t>
  </si>
  <si>
    <t>idk</t>
  </si>
  <si>
    <t>94micro</t>
  </si>
  <si>
    <t>480micro</t>
  </si>
  <si>
    <t>890micro</t>
  </si>
  <si>
    <t>990micro</t>
  </si>
  <si>
    <t>1.28m</t>
  </si>
  <si>
    <t>1.67m</t>
  </si>
  <si>
    <t>2m</t>
  </si>
  <si>
    <t>130micro</t>
  </si>
  <si>
    <t>530micro</t>
  </si>
  <si>
    <t>924micro</t>
  </si>
  <si>
    <t>1.03m</t>
  </si>
  <si>
    <t>1.32m</t>
  </si>
  <si>
    <t>1.72m</t>
  </si>
  <si>
    <t>2.04m</t>
  </si>
  <si>
    <t>450micro</t>
  </si>
  <si>
    <t>842micro</t>
  </si>
  <si>
    <t>1.24m</t>
  </si>
  <si>
    <t>1.64m</t>
  </si>
  <si>
    <t>2.35m</t>
  </si>
  <si>
    <t>gain</t>
  </si>
  <si>
    <t>offset</t>
  </si>
  <si>
    <t>y = 0.000299786x - 0.000193857</t>
  </si>
  <si>
    <t>x=3335.71281y + 0.6466512779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</si>
</sst>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59595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11" fontId="0" fillId="0" borderId="0" xfId="0" applyNumberFormat="1"/>
    <xf numFmtId="0" fontId="0" fillId="0" borderId="3" xfId="0" applyBorder="1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189402015389142E-2"/>
                  <c:y val="0.1463319029710082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Sheet1!$C$16:$I$16</c:f>
              <c:numCache>
                <c:formatCode>General</c:formatCode>
                <c:ptCount val="7"/>
                <c:pt idx="0">
                  <c:v>6.9999999999999994E-5</c:v>
                </c:pt>
                <c:pt idx="1">
                  <c:v>4.2400000000000001E-4</c:v>
                </c:pt>
                <c:pt idx="2">
                  <c:v>8.2799999999999996E-4</c:v>
                </c:pt>
                <c:pt idx="3">
                  <c:v>9.4499999999999998E-4</c:v>
                </c:pt>
                <c:pt idx="4">
                  <c:v>1.2099999999999999E-3</c:v>
                </c:pt>
                <c:pt idx="5">
                  <c:v>1.6099999999999999E-3</c:v>
                </c:pt>
                <c:pt idx="6">
                  <c:v>1.9499999999999999E-3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9-4E04-92A5-6E0FAA569C96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5119225738254691E-2"/>
                  <c:y val="0.20204327244632492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Sheet1!$C$17:$I$17</c:f>
              <c:numCache>
                <c:formatCode>General</c:formatCode>
                <c:ptCount val="7"/>
                <c:pt idx="0">
                  <c:v>1.0999999999999999E-4</c:v>
                </c:pt>
                <c:pt idx="1">
                  <c:v>4.6999999999999999E-4</c:v>
                </c:pt>
                <c:pt idx="2">
                  <c:v>8.5999999999999998E-4</c:v>
                </c:pt>
                <c:pt idx="3">
                  <c:v>9.7999999999999997E-4</c:v>
                </c:pt>
                <c:pt idx="4">
                  <c:v>1.2699999999999999E-3</c:v>
                </c:pt>
                <c:pt idx="5">
                  <c:v>1.66E-3</c:v>
                </c:pt>
                <c:pt idx="6">
                  <c:v>1.98E-3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9-4E04-92A5-6E0FAA569C96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698174429917727E-2"/>
                  <c:y val="0.2145847503865059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Sheet1!$C$18:$I$18</c:f>
              <c:numCache>
                <c:formatCode>General</c:formatCode>
                <c:ptCount val="7"/>
                <c:pt idx="0">
                  <c:v>1.2999999999999999E-5</c:v>
                </c:pt>
                <c:pt idx="1">
                  <c:v>3.9199999999999999E-4</c:v>
                </c:pt>
                <c:pt idx="2">
                  <c:v>7.9000000000000001E-4</c:v>
                </c:pt>
                <c:pt idx="3">
                  <c:v>8.9499999999999996E-4</c:v>
                </c:pt>
                <c:pt idx="4">
                  <c:v>1.1799999999999998E-3</c:v>
                </c:pt>
                <c:pt idx="5">
                  <c:v>1.57E-3</c:v>
                </c:pt>
                <c:pt idx="6">
                  <c:v>1.9E-3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D9-4E04-92A5-6E0FAA569C96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627998152783277E-2"/>
                  <c:y val="0.26023865675114533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Sheet1!$C$19:$I$19</c:f>
              <c:numCache>
                <c:formatCode>General</c:formatCode>
                <c:ptCount val="7"/>
                <c:pt idx="0">
                  <c:v>3.1999999999999999E-5</c:v>
                </c:pt>
                <c:pt idx="1">
                  <c:v>4.0699999999999997E-4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1.58E-3</c:v>
                </c:pt>
                <c:pt idx="6">
                  <c:v>1.9199999999999998E-3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D9-4E04-92A5-6E0FAA569C96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627998152783277E-2"/>
                  <c:y val="0.28741263588509647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Sheet1!$C$20:$I$20</c:f>
              <c:numCache>
                <c:formatCode>General</c:formatCode>
                <c:ptCount val="7"/>
                <c:pt idx="0">
                  <c:v>2.04E-4</c:v>
                </c:pt>
                <c:pt idx="1">
                  <c:v>4.55E-4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1.5999999999999999E-3</c:v>
                </c:pt>
                <c:pt idx="6">
                  <c:v>1.9299999999999999E-3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D9-4E04-92A5-6E0FAA569C96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356000049178065E-2"/>
                  <c:y val="0.45024815827001013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Sheet1!$C$21:$I$21</c:f>
              <c:numCache>
                <c:formatCode>General</c:formatCode>
                <c:ptCount val="7"/>
                <c:pt idx="0">
                  <c:v>4.4999999999999999E-4</c:v>
                </c:pt>
                <c:pt idx="1">
                  <c:v>8.4199999999999998E-4</c:v>
                </c:pt>
                <c:pt idx="2">
                  <c:v>1.24E-3</c:v>
                </c:pt>
                <c:pt idx="3">
                  <c:v>1.3499999999999999E-3</c:v>
                </c:pt>
                <c:pt idx="4">
                  <c:v>1.64E-3</c:v>
                </c:pt>
                <c:pt idx="5">
                  <c:v>2.0399999999999997E-3</c:v>
                </c:pt>
                <c:pt idx="6">
                  <c:v>2.3500000000000001E-3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D9-4E04-92A5-6E0FAA569C96}"/>
            </c:ext>
          </c:extLst>
        </c:ser>
        <c:ser>
          <c:idx val="6"/>
          <c:order val="6"/>
          <c:tx>
            <c:v>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2943788222653442E-2"/>
                  <c:y val="0.40479895613006056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Sheet1!$C$22:$I$22</c:f>
              <c:numCache>
                <c:formatCode>General</c:formatCode>
                <c:ptCount val="7"/>
                <c:pt idx="0">
                  <c:v>1.5999999999999999E-4</c:v>
                </c:pt>
                <c:pt idx="1">
                  <c:v>5.4999999999999992E-4</c:v>
                </c:pt>
                <c:pt idx="2">
                  <c:v>9.5E-4</c:v>
                </c:pt>
                <c:pt idx="3">
                  <c:v>1.06E-3</c:v>
                </c:pt>
                <c:pt idx="4">
                  <c:v>1.3499999999999999E-3</c:v>
                </c:pt>
                <c:pt idx="5">
                  <c:v>1.7499999999999998E-3</c:v>
                </c:pt>
                <c:pt idx="6">
                  <c:v>2.0799999999999998E-3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D9-4E04-92A5-6E0FAA569C96}"/>
            </c:ext>
          </c:extLst>
        </c:ser>
        <c:ser>
          <c:idx val="7"/>
          <c:order val="7"/>
          <c:tx>
            <c:v>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6452560637182013E-2"/>
                  <c:y val="0.42131047996452337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Sheet1!$C$23:$I$23</c:f>
              <c:numCache>
                <c:formatCode>General</c:formatCode>
                <c:ptCount val="7"/>
                <c:pt idx="0">
                  <c:v>9.3999999999999994E-5</c:v>
                </c:pt>
                <c:pt idx="1">
                  <c:v>4.7999999999999996E-4</c:v>
                </c:pt>
                <c:pt idx="2">
                  <c:v>8.8999999999999995E-4</c:v>
                </c:pt>
                <c:pt idx="3">
                  <c:v>9.8999999999999999E-4</c:v>
                </c:pt>
                <c:pt idx="4">
                  <c:v>1.2799999999999999E-3</c:v>
                </c:pt>
                <c:pt idx="5">
                  <c:v>1.6699999999999998E-3</c:v>
                </c:pt>
                <c:pt idx="6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D9-4E04-92A5-6E0FAA569C96}"/>
            </c:ext>
          </c:extLst>
        </c:ser>
        <c:ser>
          <c:idx val="8"/>
          <c:order val="8"/>
          <c:tx>
            <c:v>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627998152783277E-2"/>
                  <c:y val="0.46954082207595216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Sheet1!$C$24:$I$24</c:f>
              <c:numCache>
                <c:formatCode>General</c:formatCode>
                <c:ptCount val="7"/>
                <c:pt idx="0">
                  <c:v>1.2999999999999999E-4</c:v>
                </c:pt>
                <c:pt idx="1">
                  <c:v>5.2999999999999998E-4</c:v>
                </c:pt>
                <c:pt idx="2">
                  <c:v>9.2399999999999991E-4</c:v>
                </c:pt>
                <c:pt idx="3">
                  <c:v>1.0299999999999999E-3</c:v>
                </c:pt>
                <c:pt idx="4">
                  <c:v>1.32E-3</c:v>
                </c:pt>
                <c:pt idx="5">
                  <c:v>1.72E-3</c:v>
                </c:pt>
                <c:pt idx="6">
                  <c:v>2.0399999999999997E-3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D9-4E04-92A5-6E0FAA569C96}"/>
            </c:ext>
          </c:extLst>
        </c:ser>
        <c:ser>
          <c:idx val="9"/>
          <c:order val="9"/>
          <c:tx>
            <c:v>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2136770567311862E-2"/>
                  <c:y val="0.4631354039402118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Sheet1!$C$25:$I$25</c:f>
              <c:numCache>
                <c:formatCode>General</c:formatCode>
                <c:ptCount val="7"/>
                <c:pt idx="0">
                  <c:v>1.35E-4</c:v>
                </c:pt>
                <c:pt idx="1">
                  <c:v>3.9999999999999996E-4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1.5999999999999999E-3</c:v>
                </c:pt>
                <c:pt idx="6">
                  <c:v>1.9199999999999998E-3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D9-4E04-92A5-6E0FAA569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791599"/>
        <c:axId val="1877790159"/>
      </c:lineChart>
      <c:catAx>
        <c:axId val="187779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90159"/>
        <c:crosses val="autoZero"/>
        <c:auto val="1"/>
        <c:lblAlgn val="ctr"/>
        <c:lblOffset val="100"/>
        <c:noMultiLvlLbl val="0"/>
      </c:catAx>
      <c:valAx>
        <c:axId val="18777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9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Sheet1!$C$29:$L$29</c:f>
              <c:numCache>
                <c:formatCode>General</c:formatCode>
                <c:ptCount val="10"/>
                <c:pt idx="0">
                  <c:v>6.9999999999999994E-5</c:v>
                </c:pt>
                <c:pt idx="1">
                  <c:v>1.0999999999999999E-4</c:v>
                </c:pt>
                <c:pt idx="2">
                  <c:v>1.2999999999999999E-5</c:v>
                </c:pt>
                <c:pt idx="3">
                  <c:v>3.1999999999999999E-5</c:v>
                </c:pt>
                <c:pt idx="4">
                  <c:v>2.04E-4</c:v>
                </c:pt>
                <c:pt idx="5">
                  <c:v>4.4999999999999999E-4</c:v>
                </c:pt>
                <c:pt idx="6">
                  <c:v>1.5999999999999999E-4</c:v>
                </c:pt>
                <c:pt idx="7">
                  <c:v>9.3999999999999994E-5</c:v>
                </c:pt>
                <c:pt idx="8">
                  <c:v>1.2999999999999999E-4</c:v>
                </c:pt>
                <c:pt idx="9">
                  <c:v>1.35E-4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A-4E6B-86F1-4D56DC7851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Sheet1!$C$30:$L$30</c:f>
              <c:numCache>
                <c:formatCode>General</c:formatCode>
                <c:ptCount val="10"/>
                <c:pt idx="0">
                  <c:v>4.2400000000000001E-4</c:v>
                </c:pt>
                <c:pt idx="1">
                  <c:v>4.6999999999999999E-4</c:v>
                </c:pt>
                <c:pt idx="2">
                  <c:v>3.9199999999999999E-4</c:v>
                </c:pt>
                <c:pt idx="3">
                  <c:v>4.0699999999999997E-4</c:v>
                </c:pt>
                <c:pt idx="4">
                  <c:v>4.55E-4</c:v>
                </c:pt>
                <c:pt idx="5">
                  <c:v>8.4199999999999998E-4</c:v>
                </c:pt>
                <c:pt idx="6">
                  <c:v>5.4999999999999992E-4</c:v>
                </c:pt>
                <c:pt idx="7">
                  <c:v>4.7999999999999996E-4</c:v>
                </c:pt>
                <c:pt idx="8">
                  <c:v>5.2999999999999998E-4</c:v>
                </c:pt>
                <c:pt idx="9">
                  <c:v>3.9999999999999996E-4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A-4E6B-86F1-4D56DC78516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Sheet1!$C$31:$L$31</c:f>
              <c:numCache>
                <c:formatCode>General</c:formatCode>
                <c:ptCount val="10"/>
                <c:pt idx="0">
                  <c:v>8.2799999999999996E-4</c:v>
                </c:pt>
                <c:pt idx="1">
                  <c:v>8.5999999999999998E-4</c:v>
                </c:pt>
                <c:pt idx="2">
                  <c:v>7.9000000000000001E-4</c:v>
                </c:pt>
                <c:pt idx="3">
                  <c:v>7.9999999999999993E-4</c:v>
                </c:pt>
                <c:pt idx="4">
                  <c:v>7.9999999999999993E-4</c:v>
                </c:pt>
                <c:pt idx="5">
                  <c:v>1.24E-3</c:v>
                </c:pt>
                <c:pt idx="6">
                  <c:v>9.5E-4</c:v>
                </c:pt>
                <c:pt idx="7">
                  <c:v>8.8999999999999995E-4</c:v>
                </c:pt>
                <c:pt idx="8">
                  <c:v>9.2399999999999991E-4</c:v>
                </c:pt>
                <c:pt idx="9">
                  <c:v>7.9999999999999993E-4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CA-4E6B-86F1-4D56DC78516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Sheet1!$C$32:$L$32</c:f>
              <c:numCache>
                <c:formatCode>General</c:formatCode>
                <c:ptCount val="10"/>
                <c:pt idx="0">
                  <c:v>9.4499999999999998E-4</c:v>
                </c:pt>
                <c:pt idx="1">
                  <c:v>9.7999999999999997E-4</c:v>
                </c:pt>
                <c:pt idx="2">
                  <c:v>8.9499999999999996E-4</c:v>
                </c:pt>
                <c:pt idx="3">
                  <c:v>9.1E-4</c:v>
                </c:pt>
                <c:pt idx="4">
                  <c:v>9.1E-4</c:v>
                </c:pt>
                <c:pt idx="5">
                  <c:v>1.3499999999999999E-3</c:v>
                </c:pt>
                <c:pt idx="6">
                  <c:v>1.06E-3</c:v>
                </c:pt>
                <c:pt idx="7">
                  <c:v>9.8999999999999999E-4</c:v>
                </c:pt>
                <c:pt idx="8">
                  <c:v>1.0299999999999999E-3</c:v>
                </c:pt>
                <c:pt idx="9">
                  <c:v>9.1E-4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CA-4E6B-86F1-4D56DC78516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Sheet1!$C$33:$L$33</c:f>
              <c:numCache>
                <c:formatCode>General</c:formatCode>
                <c:ptCount val="10"/>
                <c:pt idx="0">
                  <c:v>1.2099999999999999E-3</c:v>
                </c:pt>
                <c:pt idx="1">
                  <c:v>1.2699999999999999E-3</c:v>
                </c:pt>
                <c:pt idx="2">
                  <c:v>1.1799999999999998E-3</c:v>
                </c:pt>
                <c:pt idx="3">
                  <c:v>1.1999999999999999E-3</c:v>
                </c:pt>
                <c:pt idx="4">
                  <c:v>1.1999999999999999E-3</c:v>
                </c:pt>
                <c:pt idx="5">
                  <c:v>1.64E-3</c:v>
                </c:pt>
                <c:pt idx="6">
                  <c:v>1.3499999999999999E-3</c:v>
                </c:pt>
                <c:pt idx="7">
                  <c:v>1.2799999999999999E-3</c:v>
                </c:pt>
                <c:pt idx="8">
                  <c:v>1.32E-3</c:v>
                </c:pt>
                <c:pt idx="9">
                  <c:v>1.1999999999999999E-3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CA-4E6B-86F1-4D56DC78516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Sheet1!$C$34:$L$34</c:f>
              <c:numCache>
                <c:formatCode>General</c:formatCode>
                <c:ptCount val="10"/>
                <c:pt idx="0">
                  <c:v>1.6099999999999999E-3</c:v>
                </c:pt>
                <c:pt idx="1">
                  <c:v>1.66E-3</c:v>
                </c:pt>
                <c:pt idx="2">
                  <c:v>1.57E-3</c:v>
                </c:pt>
                <c:pt idx="3">
                  <c:v>1.58E-3</c:v>
                </c:pt>
                <c:pt idx="4">
                  <c:v>1.5999999999999999E-3</c:v>
                </c:pt>
                <c:pt idx="5">
                  <c:v>2.0399999999999997E-3</c:v>
                </c:pt>
                <c:pt idx="6">
                  <c:v>1.7499999999999998E-3</c:v>
                </c:pt>
                <c:pt idx="7">
                  <c:v>1.6699999999999998E-3</c:v>
                </c:pt>
                <c:pt idx="8">
                  <c:v>1.72E-3</c:v>
                </c:pt>
                <c:pt idx="9">
                  <c:v>1.5999999999999999E-3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CA-4E6B-86F1-4D56DC78516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Sheet1!$C$35:$L$35</c:f>
              <c:numCache>
                <c:formatCode>General</c:formatCode>
                <c:ptCount val="10"/>
                <c:pt idx="0">
                  <c:v>1.9499999999999999E-3</c:v>
                </c:pt>
                <c:pt idx="1">
                  <c:v>1.98E-3</c:v>
                </c:pt>
                <c:pt idx="2">
                  <c:v>1.9E-3</c:v>
                </c:pt>
                <c:pt idx="3">
                  <c:v>1.9199999999999998E-3</c:v>
                </c:pt>
                <c:pt idx="4">
                  <c:v>1.9299999999999999E-3</c:v>
                </c:pt>
                <c:pt idx="5">
                  <c:v>2.3500000000000001E-3</c:v>
                </c:pt>
                <c:pt idx="6">
                  <c:v>2.0799999999999998E-3</c:v>
                </c:pt>
                <c:pt idx="7">
                  <c:v>2E-3</c:v>
                </c:pt>
                <c:pt idx="8">
                  <c:v>2.0399999999999997E-3</c:v>
                </c:pt>
                <c:pt idx="9">
                  <c:v>1.9199999999999998E-3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CA-4E6B-86F1-4D56DC785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540079"/>
        <c:axId val="293540559"/>
      </c:lineChart>
      <c:catAx>
        <c:axId val="293540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40559"/>
        <c:crosses val="autoZero"/>
        <c:auto val="1"/>
        <c:lblAlgn val="ctr"/>
        <c:lblOffset val="100"/>
        <c:noMultiLvlLbl val="0"/>
      </c:catAx>
      <c:valAx>
        <c:axId val="29354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501583"/>
        <c:axId val="308974831"/>
      </c:lineChart>
      <c:catAx>
        <c:axId val="430501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74831"/>
        <c:crosses val="autoZero"/>
        <c:auto val="1"/>
        <c:lblAlgn val="ctr"/>
        <c:lblOffset val="100"/>
        <c:noMultiLvlLbl val="0"/>
      </c:catAx>
      <c:valAx>
        <c:axId val="3089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0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573768279288338E-2"/>
                  <c:y val="0.11417068540474402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Sheet1!$C$16:$I$16</c:f>
              <c:numCache>
                <c:formatCode>General</c:formatCode>
                <c:ptCount val="7"/>
                <c:pt idx="0">
                  <c:v>6.9999999999999994E-5</c:v>
                </c:pt>
                <c:pt idx="1">
                  <c:v>4.2400000000000001E-4</c:v>
                </c:pt>
                <c:pt idx="2">
                  <c:v>8.2799999999999996E-4</c:v>
                </c:pt>
                <c:pt idx="3">
                  <c:v>9.4499999999999998E-4</c:v>
                </c:pt>
                <c:pt idx="4">
                  <c:v>1.2099999999999999E-3</c:v>
                </c:pt>
                <c:pt idx="5">
                  <c:v>1.6099999999999999E-3</c:v>
                </c:pt>
                <c:pt idx="6">
                  <c:v>1.9499999999999999E-3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2-4AFD-B043-BFD8E16F7F09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0474524171090508E-2"/>
                  <c:y val="0.16595494462479921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Sheet1!$C$17:$I$17</c:f>
              <c:numCache>
                <c:formatCode>General</c:formatCode>
                <c:ptCount val="7"/>
                <c:pt idx="0">
                  <c:v>1.0999999999999999E-4</c:v>
                </c:pt>
                <c:pt idx="1">
                  <c:v>4.6999999999999999E-4</c:v>
                </c:pt>
                <c:pt idx="2">
                  <c:v>8.5999999999999998E-4</c:v>
                </c:pt>
                <c:pt idx="3">
                  <c:v>9.7999999999999997E-4</c:v>
                </c:pt>
                <c:pt idx="4">
                  <c:v>1.2699999999999999E-3</c:v>
                </c:pt>
                <c:pt idx="5">
                  <c:v>1.66E-3</c:v>
                </c:pt>
                <c:pt idx="6">
                  <c:v>1.98E-3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C2-4AFD-B043-BFD8E16F7F09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983296585619094E-2"/>
                  <c:y val="0.18895312917193396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Sheet1!$C$18:$I$18</c:f>
              <c:numCache>
                <c:formatCode>General</c:formatCode>
                <c:ptCount val="7"/>
                <c:pt idx="0">
                  <c:v>1.2999999999999999E-5</c:v>
                </c:pt>
                <c:pt idx="1">
                  <c:v>3.9199999999999999E-4</c:v>
                </c:pt>
                <c:pt idx="2">
                  <c:v>7.9000000000000001E-4</c:v>
                </c:pt>
                <c:pt idx="3">
                  <c:v>8.9499999999999996E-4</c:v>
                </c:pt>
                <c:pt idx="4">
                  <c:v>1.1799999999999998E-3</c:v>
                </c:pt>
                <c:pt idx="5">
                  <c:v>1.57E-3</c:v>
                </c:pt>
                <c:pt idx="6">
                  <c:v>1.9E-3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C2-4AFD-B043-BFD8E16F7F09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983296585619094E-2"/>
                  <c:y val="0.23133760251346469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Sheet1!$C$19:$I$19</c:f>
              <c:numCache>
                <c:formatCode>General</c:formatCode>
                <c:ptCount val="7"/>
                <c:pt idx="0">
                  <c:v>3.1999999999999999E-5</c:v>
                </c:pt>
                <c:pt idx="1">
                  <c:v>4.0699999999999997E-4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1.58E-3</c:v>
                </c:pt>
                <c:pt idx="6">
                  <c:v>1.9199999999999998E-3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C2-4AFD-B043-BFD8E16F7F09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0474524171090508E-2"/>
                  <c:y val="0.26141009101458845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Sheet1!$C$20:$I$20</c:f>
              <c:numCache>
                <c:formatCode>General</c:formatCode>
                <c:ptCount val="7"/>
                <c:pt idx="0">
                  <c:v>2.04E-4</c:v>
                </c:pt>
                <c:pt idx="1">
                  <c:v>4.55E-4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1.5999999999999999E-3</c:v>
                </c:pt>
                <c:pt idx="6">
                  <c:v>1.9299999999999999E-3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C2-4AFD-B043-BFD8E16F7F09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7149894619408017E-2"/>
                  <c:y val="0.41718108818296584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Sheet1!$C$21:$I$21</c:f>
              <c:numCache>
                <c:formatCode>General</c:formatCode>
                <c:ptCount val="7"/>
                <c:pt idx="0">
                  <c:v>4.4999999999999999E-4</c:v>
                </c:pt>
                <c:pt idx="1">
                  <c:v>8.4199999999999998E-4</c:v>
                </c:pt>
                <c:pt idx="2">
                  <c:v>1.24E-3</c:v>
                </c:pt>
                <c:pt idx="3">
                  <c:v>1.3499999999999999E-3</c:v>
                </c:pt>
                <c:pt idx="4">
                  <c:v>1.64E-3</c:v>
                </c:pt>
                <c:pt idx="5">
                  <c:v>2.0399999999999997E-3</c:v>
                </c:pt>
                <c:pt idx="6">
                  <c:v>2.3500000000000001E-3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C2-4AFD-B043-BFD8E16F7F09}"/>
            </c:ext>
          </c:extLst>
        </c:ser>
        <c:ser>
          <c:idx val="6"/>
          <c:order val="6"/>
          <c:tx>
            <c:v>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2228910378354794E-2"/>
                  <c:y val="0.38540137407574787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Sheet1!$C$22:$I$22</c:f>
              <c:numCache>
                <c:formatCode>General</c:formatCode>
                <c:ptCount val="7"/>
                <c:pt idx="0">
                  <c:v>1.5999999999999999E-4</c:v>
                </c:pt>
                <c:pt idx="1">
                  <c:v>5.4999999999999992E-4</c:v>
                </c:pt>
                <c:pt idx="2">
                  <c:v>9.5E-4</c:v>
                </c:pt>
                <c:pt idx="3">
                  <c:v>1.06E-3</c:v>
                </c:pt>
                <c:pt idx="4">
                  <c:v>1.3499999999999999E-3</c:v>
                </c:pt>
                <c:pt idx="5">
                  <c:v>1.7499999999999998E-3</c:v>
                </c:pt>
                <c:pt idx="6">
                  <c:v>2.0799999999999998E-3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C2-4AFD-B043-BFD8E16F7F09}"/>
            </c:ext>
          </c:extLst>
        </c:ser>
        <c:ser>
          <c:idx val="7"/>
          <c:order val="7"/>
          <c:tx>
            <c:v>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573768279288338E-2"/>
                  <c:y val="0.40141101559077391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Sheet1!$C$23:$I$23</c:f>
              <c:numCache>
                <c:formatCode>General</c:formatCode>
                <c:ptCount val="7"/>
                <c:pt idx="0">
                  <c:v>9.3999999999999994E-5</c:v>
                </c:pt>
                <c:pt idx="1">
                  <c:v>4.7999999999999996E-4</c:v>
                </c:pt>
                <c:pt idx="2">
                  <c:v>8.8999999999999995E-4</c:v>
                </c:pt>
                <c:pt idx="3">
                  <c:v>9.8999999999999999E-4</c:v>
                </c:pt>
                <c:pt idx="4">
                  <c:v>1.2799999999999999E-3</c:v>
                </c:pt>
                <c:pt idx="5">
                  <c:v>1.6699999999999998E-3</c:v>
                </c:pt>
                <c:pt idx="6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9C2-4AFD-B043-BFD8E16F7F09}"/>
            </c:ext>
          </c:extLst>
        </c:ser>
        <c:ser>
          <c:idx val="8"/>
          <c:order val="8"/>
          <c:tx>
            <c:v>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983296585619094E-2"/>
                  <c:y val="0.45066608369401884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Sheet1!$C$24:$I$24</c:f>
              <c:numCache>
                <c:formatCode>General</c:formatCode>
                <c:ptCount val="7"/>
                <c:pt idx="0">
                  <c:v>1.2999999999999999E-4</c:v>
                </c:pt>
                <c:pt idx="1">
                  <c:v>5.2999999999999998E-4</c:v>
                </c:pt>
                <c:pt idx="2">
                  <c:v>9.2399999999999991E-4</c:v>
                </c:pt>
                <c:pt idx="3">
                  <c:v>1.0299999999999999E-3</c:v>
                </c:pt>
                <c:pt idx="4">
                  <c:v>1.32E-3</c:v>
                </c:pt>
                <c:pt idx="5">
                  <c:v>1.72E-3</c:v>
                </c:pt>
                <c:pt idx="6">
                  <c:v>2.0399999999999997E-3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9C2-4AFD-B043-BFD8E16F7F09}"/>
            </c:ext>
          </c:extLst>
        </c:ser>
        <c:ser>
          <c:idx val="9"/>
          <c:order val="9"/>
          <c:tx>
            <c:v>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2228910378354794E-2"/>
                  <c:y val="0.44812717156591236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Sheet1!$C$25:$I$25</c:f>
              <c:numCache>
                <c:formatCode>General</c:formatCode>
                <c:ptCount val="7"/>
                <c:pt idx="0">
                  <c:v>1.35E-4</c:v>
                </c:pt>
                <c:pt idx="1">
                  <c:v>3.9999999999999996E-4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1.5999999999999999E-3</c:v>
                </c:pt>
                <c:pt idx="6">
                  <c:v>1.9199999999999998E-3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9C2-4AFD-B043-BFD8E16F7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791599"/>
        <c:axId val="1877790159"/>
      </c:lineChart>
      <c:catAx>
        <c:axId val="187779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Known Loads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90159"/>
        <c:crosses val="autoZero"/>
        <c:auto val="1"/>
        <c:lblAlgn val="ctr"/>
        <c:lblOffset val="100"/>
        <c:noMultiLvlLbl val="0"/>
      </c:catAx>
      <c:valAx>
        <c:axId val="18777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 Readings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9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573768279288338E-2"/>
                  <c:y val="0.11417068540474402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Sheet1!$C$16:$I$16</c:f>
              <c:numCache>
                <c:formatCode>General</c:formatCode>
                <c:ptCount val="7"/>
                <c:pt idx="0">
                  <c:v>6.9999999999999994E-5</c:v>
                </c:pt>
                <c:pt idx="1">
                  <c:v>4.2400000000000001E-4</c:v>
                </c:pt>
                <c:pt idx="2">
                  <c:v>8.2799999999999996E-4</c:v>
                </c:pt>
                <c:pt idx="3">
                  <c:v>9.4499999999999998E-4</c:v>
                </c:pt>
                <c:pt idx="4">
                  <c:v>1.2099999999999999E-3</c:v>
                </c:pt>
                <c:pt idx="5">
                  <c:v>1.6099999999999999E-3</c:v>
                </c:pt>
                <c:pt idx="6">
                  <c:v>1.9499999999999999E-3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E-40DB-8856-B35BABB3D915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0474524171090508E-2"/>
                  <c:y val="0.16595494462479921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Sheet1!$C$17:$I$17</c:f>
              <c:numCache>
                <c:formatCode>General</c:formatCode>
                <c:ptCount val="7"/>
                <c:pt idx="0">
                  <c:v>1.0999999999999999E-4</c:v>
                </c:pt>
                <c:pt idx="1">
                  <c:v>4.6999999999999999E-4</c:v>
                </c:pt>
                <c:pt idx="2">
                  <c:v>8.5999999999999998E-4</c:v>
                </c:pt>
                <c:pt idx="3">
                  <c:v>9.7999999999999997E-4</c:v>
                </c:pt>
                <c:pt idx="4">
                  <c:v>1.2699999999999999E-3</c:v>
                </c:pt>
                <c:pt idx="5">
                  <c:v>1.66E-3</c:v>
                </c:pt>
                <c:pt idx="6">
                  <c:v>1.98E-3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FE-40DB-8856-B35BABB3D915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983296585619094E-2"/>
                  <c:y val="0.18895312917193396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Sheet1!$C$18:$I$18</c:f>
              <c:numCache>
                <c:formatCode>General</c:formatCode>
                <c:ptCount val="7"/>
                <c:pt idx="0">
                  <c:v>1.2999999999999999E-5</c:v>
                </c:pt>
                <c:pt idx="1">
                  <c:v>3.9199999999999999E-4</c:v>
                </c:pt>
                <c:pt idx="2">
                  <c:v>7.9000000000000001E-4</c:v>
                </c:pt>
                <c:pt idx="3">
                  <c:v>8.9499999999999996E-4</c:v>
                </c:pt>
                <c:pt idx="4">
                  <c:v>1.1799999999999998E-3</c:v>
                </c:pt>
                <c:pt idx="5">
                  <c:v>1.57E-3</c:v>
                </c:pt>
                <c:pt idx="6">
                  <c:v>1.9E-3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FE-40DB-8856-B35BABB3D915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983296585619094E-2"/>
                  <c:y val="0.23133760251346469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Sheet1!$C$19:$I$19</c:f>
              <c:numCache>
                <c:formatCode>General</c:formatCode>
                <c:ptCount val="7"/>
                <c:pt idx="0">
                  <c:v>3.1999999999999999E-5</c:v>
                </c:pt>
                <c:pt idx="1">
                  <c:v>4.0699999999999997E-4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1.58E-3</c:v>
                </c:pt>
                <c:pt idx="6">
                  <c:v>1.9199999999999998E-3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FE-40DB-8856-B35BABB3D915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0474524171090508E-2"/>
                  <c:y val="0.26141009101458845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Sheet1!$C$20:$I$20</c:f>
              <c:numCache>
                <c:formatCode>General</c:formatCode>
                <c:ptCount val="7"/>
                <c:pt idx="0">
                  <c:v>2.04E-4</c:v>
                </c:pt>
                <c:pt idx="1">
                  <c:v>4.55E-4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1.5999999999999999E-3</c:v>
                </c:pt>
                <c:pt idx="6">
                  <c:v>1.9299999999999999E-3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FE-40DB-8856-B35BABB3D915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7149894619408017E-2"/>
                  <c:y val="0.41718108818296584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Sheet1!$C$21:$I$21</c:f>
              <c:numCache>
                <c:formatCode>General</c:formatCode>
                <c:ptCount val="7"/>
                <c:pt idx="0">
                  <c:v>4.4999999999999999E-4</c:v>
                </c:pt>
                <c:pt idx="1">
                  <c:v>8.4199999999999998E-4</c:v>
                </c:pt>
                <c:pt idx="2">
                  <c:v>1.24E-3</c:v>
                </c:pt>
                <c:pt idx="3">
                  <c:v>1.3499999999999999E-3</c:v>
                </c:pt>
                <c:pt idx="4">
                  <c:v>1.64E-3</c:v>
                </c:pt>
                <c:pt idx="5">
                  <c:v>2.0399999999999997E-3</c:v>
                </c:pt>
                <c:pt idx="6">
                  <c:v>2.3500000000000001E-3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FE-40DB-8856-B35BABB3D915}"/>
            </c:ext>
          </c:extLst>
        </c:ser>
        <c:ser>
          <c:idx val="6"/>
          <c:order val="6"/>
          <c:tx>
            <c:v>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2228910378354794E-2"/>
                  <c:y val="0.38540137407574787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Sheet1!$C$22:$I$22</c:f>
              <c:numCache>
                <c:formatCode>General</c:formatCode>
                <c:ptCount val="7"/>
                <c:pt idx="0">
                  <c:v>1.5999999999999999E-4</c:v>
                </c:pt>
                <c:pt idx="1">
                  <c:v>5.4999999999999992E-4</c:v>
                </c:pt>
                <c:pt idx="2">
                  <c:v>9.5E-4</c:v>
                </c:pt>
                <c:pt idx="3">
                  <c:v>1.06E-3</c:v>
                </c:pt>
                <c:pt idx="4">
                  <c:v>1.3499999999999999E-3</c:v>
                </c:pt>
                <c:pt idx="5">
                  <c:v>1.7499999999999998E-3</c:v>
                </c:pt>
                <c:pt idx="6">
                  <c:v>2.0799999999999998E-3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FE-40DB-8856-B35BABB3D915}"/>
            </c:ext>
          </c:extLst>
        </c:ser>
        <c:ser>
          <c:idx val="7"/>
          <c:order val="7"/>
          <c:tx>
            <c:v>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573768279288338E-2"/>
                  <c:y val="0.40141101559077391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Sheet1!$C$23:$I$23</c:f>
              <c:numCache>
                <c:formatCode>General</c:formatCode>
                <c:ptCount val="7"/>
                <c:pt idx="0">
                  <c:v>9.3999999999999994E-5</c:v>
                </c:pt>
                <c:pt idx="1">
                  <c:v>4.7999999999999996E-4</c:v>
                </c:pt>
                <c:pt idx="2">
                  <c:v>8.8999999999999995E-4</c:v>
                </c:pt>
                <c:pt idx="3">
                  <c:v>9.8999999999999999E-4</c:v>
                </c:pt>
                <c:pt idx="4">
                  <c:v>1.2799999999999999E-3</c:v>
                </c:pt>
                <c:pt idx="5">
                  <c:v>1.6699999999999998E-3</c:v>
                </c:pt>
                <c:pt idx="6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AFE-40DB-8856-B35BABB3D915}"/>
            </c:ext>
          </c:extLst>
        </c:ser>
        <c:ser>
          <c:idx val="8"/>
          <c:order val="8"/>
          <c:tx>
            <c:v>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983296585619094E-2"/>
                  <c:y val="0.45066608369401884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Sheet1!$C$24:$I$24</c:f>
              <c:numCache>
                <c:formatCode>General</c:formatCode>
                <c:ptCount val="7"/>
                <c:pt idx="0">
                  <c:v>1.2999999999999999E-4</c:v>
                </c:pt>
                <c:pt idx="1">
                  <c:v>5.2999999999999998E-4</c:v>
                </c:pt>
                <c:pt idx="2">
                  <c:v>9.2399999999999991E-4</c:v>
                </c:pt>
                <c:pt idx="3">
                  <c:v>1.0299999999999999E-3</c:v>
                </c:pt>
                <c:pt idx="4">
                  <c:v>1.32E-3</c:v>
                </c:pt>
                <c:pt idx="5">
                  <c:v>1.72E-3</c:v>
                </c:pt>
                <c:pt idx="6">
                  <c:v>2.0399999999999997E-3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AFE-40DB-8856-B35BABB3D915}"/>
            </c:ext>
          </c:extLst>
        </c:ser>
        <c:ser>
          <c:idx val="9"/>
          <c:order val="9"/>
          <c:tx>
            <c:v>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2228910378354794E-2"/>
                  <c:y val="0.44812717156591236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Lit>
              <c:formatCode>General</c:formatCode>
              <c:ptCount val="7"/>
              <c:pt idx="0">
                <c:v>0</c:v>
              </c:pt>
              <c:pt idx="1">
                <c:v>22</c:v>
              </c:pt>
              <c:pt idx="2">
                <c:v>44</c:v>
              </c:pt>
              <c:pt idx="3">
                <c:v>50</c:v>
              </c:pt>
              <c:pt idx="4">
                <c:v>66</c:v>
              </c:pt>
              <c:pt idx="5">
                <c:v>88</c:v>
              </c:pt>
              <c:pt idx="6">
                <c:v>106</c:v>
              </c:pt>
            </c:numLit>
          </c:cat>
          <c:val>
            <c:numRef>
              <c:f>Sheet1!$C$25:$I$25</c:f>
              <c:numCache>
                <c:formatCode>General</c:formatCode>
                <c:ptCount val="7"/>
                <c:pt idx="0">
                  <c:v>1.35E-4</c:v>
                </c:pt>
                <c:pt idx="1">
                  <c:v>3.9999999999999996E-4</c:v>
                </c:pt>
                <c:pt idx="2">
                  <c:v>7.9999999999999993E-4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1.5999999999999999E-3</c:v>
                </c:pt>
                <c:pt idx="6">
                  <c:v>1.9199999999999998E-3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AFE-40DB-8856-B35BABB3D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791599"/>
        <c:axId val="1877790159"/>
      </c:lineChart>
      <c:catAx>
        <c:axId val="187779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Known Loads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90159"/>
        <c:crosses val="autoZero"/>
        <c:auto val="1"/>
        <c:lblAlgn val="ctr"/>
        <c:lblOffset val="100"/>
        <c:noMultiLvlLbl val="0"/>
      </c:catAx>
      <c:valAx>
        <c:axId val="18777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 Readings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9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57151</xdr:colOff>
      <xdr:row>1</xdr:row>
      <xdr:rowOff>9526</xdr:rowOff>
    </xdr:from>
    <xdr:to>
      <xdr:col>20</xdr:col>
      <xdr:colOff>590550</xdr:colOff>
      <xdr:row>25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D74321-D6D6-82AC-86EC-F8D352C60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47625</xdr:colOff>
      <xdr:row>30</xdr:row>
      <xdr:rowOff>128587</xdr:rowOff>
    </xdr:from>
    <xdr:to>
      <xdr:col>19</xdr:col>
      <xdr:colOff>352425</xdr:colOff>
      <xdr:row>45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2DDDC-D498-79CF-045F-C9AB42D60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23812</xdr:colOff>
      <xdr:row>37</xdr:row>
      <xdr:rowOff>185737</xdr:rowOff>
    </xdr:from>
    <xdr:to>
      <xdr:col>10</xdr:col>
      <xdr:colOff>328612</xdr:colOff>
      <xdr:row>52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D7432B-B179-872B-E614-BBCBD704F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66675</xdr:rowOff>
    </xdr:from>
    <xdr:to>
      <xdr:col>21</xdr:col>
      <xdr:colOff>85724</xdr:colOff>
      <xdr:row>25</xdr:row>
      <xdr:rowOff>123823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62B77-C153-4C35-8C9F-12509B34B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27</xdr:row>
      <xdr:rowOff>133350</xdr:rowOff>
    </xdr:from>
    <xdr:to>
      <xdr:col>21</xdr:col>
      <xdr:colOff>76199</xdr:colOff>
      <xdr:row>51</xdr:row>
      <xdr:rowOff>190498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0D156B-8409-4375-A313-CF67447C5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348F-4884-4CDB-9E76-36067E6BA55E}">
  <dimension ref="A2:X35"/>
  <sheetViews>
    <sheetView tabSelected="1" workbookViewId="0">
      <selection activeCell="C25" sqref="C25:I25"/>
    </sheetView>
  </sheetViews>
  <sheetFormatPr defaultRowHeight="15" x14ac:dyDescent="0.25"/>
  <cols>
    <col min="23" max="23" width="24.7109375" customWidth="1"/>
    <col min="24" max="24" width="27.140625" customWidth="1"/>
  </cols>
  <sheetData>
    <row r="2" spans="1:24" x14ac:dyDescent="0.25">
      <c r="B2" s="1" t="s">
        <v>0</v>
      </c>
      <c r="C2" s="1" t="s">
        <v>3</v>
      </c>
      <c r="D2" s="1" t="s">
        <v>4</v>
      </c>
      <c r="E2" s="1" t="s">
        <v>5</v>
      </c>
      <c r="F2" s="1" t="s">
        <v>9</v>
      </c>
      <c r="G2" s="1" t="s">
        <v>6</v>
      </c>
      <c r="H2" s="1" t="s">
        <v>7</v>
      </c>
      <c r="I2" s="1" t="s">
        <v>8</v>
      </c>
    </row>
    <row r="3" spans="1:24" x14ac:dyDescent="0.25">
      <c r="B3" s="1">
        <v>1</v>
      </c>
      <c r="C3" s="1" t="s">
        <v>16</v>
      </c>
      <c r="D3" s="1" t="s">
        <v>12</v>
      </c>
      <c r="E3" s="1" t="s">
        <v>11</v>
      </c>
      <c r="F3" s="1" t="s">
        <v>10</v>
      </c>
      <c r="G3" s="1" t="s">
        <v>13</v>
      </c>
      <c r="H3" s="1" t="s">
        <v>14</v>
      </c>
      <c r="I3" s="1" t="s">
        <v>15</v>
      </c>
    </row>
    <row r="4" spans="1:24" x14ac:dyDescent="0.25">
      <c r="B4" s="1">
        <v>2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N4" t="s">
        <v>1</v>
      </c>
    </row>
    <row r="5" spans="1:24" x14ac:dyDescent="0.25">
      <c r="B5" s="1">
        <v>3</v>
      </c>
      <c r="C5" s="1" t="s">
        <v>30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N5" t="s">
        <v>2</v>
      </c>
      <c r="V5">
        <v>1</v>
      </c>
      <c r="W5" s="5" t="s">
        <v>73</v>
      </c>
      <c r="X5" t="s">
        <v>74</v>
      </c>
    </row>
    <row r="6" spans="1:24" x14ac:dyDescent="0.25">
      <c r="B6" s="1">
        <v>4</v>
      </c>
      <c r="C6" s="1" t="s">
        <v>37</v>
      </c>
      <c r="D6" s="1" t="s">
        <v>36</v>
      </c>
      <c r="E6" s="1" t="s">
        <v>35</v>
      </c>
      <c r="F6" s="1" t="s">
        <v>31</v>
      </c>
      <c r="G6" s="1" t="s">
        <v>32</v>
      </c>
      <c r="H6" s="1" t="s">
        <v>33</v>
      </c>
      <c r="I6" s="1" t="s">
        <v>34</v>
      </c>
      <c r="V6">
        <v>2</v>
      </c>
    </row>
    <row r="7" spans="1:24" x14ac:dyDescent="0.25">
      <c r="B7" s="1">
        <v>5</v>
      </c>
      <c r="C7" s="1" t="s">
        <v>41</v>
      </c>
      <c r="D7" s="1" t="s">
        <v>40</v>
      </c>
      <c r="E7" s="1" t="s">
        <v>35</v>
      </c>
      <c r="F7" s="1" t="s">
        <v>31</v>
      </c>
      <c r="G7" s="1" t="s">
        <v>32</v>
      </c>
      <c r="H7" s="1" t="s">
        <v>38</v>
      </c>
      <c r="I7" s="1" t="s">
        <v>39</v>
      </c>
      <c r="V7">
        <v>3</v>
      </c>
    </row>
    <row r="8" spans="1:24" x14ac:dyDescent="0.25">
      <c r="A8" t="s">
        <v>51</v>
      </c>
      <c r="B8" s="1">
        <v>6</v>
      </c>
      <c r="C8" s="1" t="s">
        <v>66</v>
      </c>
      <c r="D8" s="1" t="s">
        <v>67</v>
      </c>
      <c r="E8" s="1" t="s">
        <v>68</v>
      </c>
      <c r="F8" s="1" t="s">
        <v>48</v>
      </c>
      <c r="G8" s="1" t="s">
        <v>69</v>
      </c>
      <c r="H8" s="1" t="s">
        <v>65</v>
      </c>
      <c r="I8" s="1" t="s">
        <v>70</v>
      </c>
      <c r="V8">
        <v>4</v>
      </c>
    </row>
    <row r="9" spans="1:24" x14ac:dyDescent="0.25">
      <c r="A9" t="s">
        <v>51</v>
      </c>
      <c r="B9" s="1">
        <v>7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2" t="s">
        <v>71</v>
      </c>
      <c r="K9" s="3">
        <v>25164</v>
      </c>
      <c r="L9" s="4" t="s">
        <v>72</v>
      </c>
      <c r="M9" s="3">
        <v>-1.5731999999999999E-4</v>
      </c>
      <c r="V9">
        <v>5</v>
      </c>
    </row>
    <row r="10" spans="1:24" x14ac:dyDescent="0.25">
      <c r="A10" t="s">
        <v>51</v>
      </c>
      <c r="B10" s="1">
        <v>8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V10">
        <v>6</v>
      </c>
    </row>
    <row r="11" spans="1:24" x14ac:dyDescent="0.25">
      <c r="A11" t="s">
        <v>51</v>
      </c>
      <c r="B11" s="1">
        <v>9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64</v>
      </c>
      <c r="I11" s="1" t="s">
        <v>65</v>
      </c>
      <c r="V11">
        <v>7</v>
      </c>
    </row>
    <row r="12" spans="1:24" x14ac:dyDescent="0.25">
      <c r="B12" s="1">
        <v>10</v>
      </c>
      <c r="C12" s="1" t="s">
        <v>42</v>
      </c>
      <c r="D12" s="1" t="s">
        <v>43</v>
      </c>
      <c r="E12" s="1" t="s">
        <v>35</v>
      </c>
      <c r="F12" s="1" t="s">
        <v>31</v>
      </c>
      <c r="G12" s="1" t="s">
        <v>32</v>
      </c>
      <c r="H12" s="1" t="s">
        <v>38</v>
      </c>
      <c r="I12" s="1" t="s">
        <v>34</v>
      </c>
      <c r="V12">
        <v>8</v>
      </c>
    </row>
    <row r="13" spans="1:24" x14ac:dyDescent="0.25">
      <c r="V13">
        <v>9</v>
      </c>
    </row>
    <row r="14" spans="1:24" x14ac:dyDescent="0.25">
      <c r="V14">
        <v>10</v>
      </c>
    </row>
    <row r="15" spans="1:24" x14ac:dyDescent="0.25">
      <c r="B15" s="1" t="s">
        <v>0</v>
      </c>
      <c r="C15" s="1" t="s">
        <v>3</v>
      </c>
      <c r="D15" s="1" t="s">
        <v>4</v>
      </c>
      <c r="E15" s="1" t="s">
        <v>5</v>
      </c>
      <c r="F15" s="1" t="s">
        <v>9</v>
      </c>
      <c r="G15" s="1" t="s">
        <v>6</v>
      </c>
      <c r="H15" s="1" t="s">
        <v>7</v>
      </c>
      <c r="I15" s="1" t="s">
        <v>8</v>
      </c>
    </row>
    <row r="16" spans="1:24" x14ac:dyDescent="0.25">
      <c r="B16" s="1">
        <v>1</v>
      </c>
      <c r="C16" s="1">
        <f>70*10^-6</f>
        <v>6.9999999999999994E-5</v>
      </c>
      <c r="D16" s="1">
        <f>424*10^-6</f>
        <v>4.2400000000000001E-4</v>
      </c>
      <c r="E16" s="1">
        <f>828*10^-6</f>
        <v>8.2799999999999996E-4</v>
      </c>
      <c r="F16" s="1">
        <f>10^-6*945</f>
        <v>9.4499999999999998E-4</v>
      </c>
      <c r="G16" s="1">
        <f>10^-6*1210</f>
        <v>1.2099999999999999E-3</v>
      </c>
      <c r="H16" s="1">
        <f>10^-6*1610</f>
        <v>1.6099999999999999E-3</v>
      </c>
      <c r="I16" s="1">
        <f>10^-6*1950</f>
        <v>1.9499999999999999E-3</v>
      </c>
    </row>
    <row r="17" spans="2:12" x14ac:dyDescent="0.25">
      <c r="B17" s="1">
        <v>2</v>
      </c>
      <c r="C17" s="1">
        <f>110*10^-6</f>
        <v>1.0999999999999999E-4</v>
      </c>
      <c r="D17" s="1">
        <f>470*10^-6</f>
        <v>4.6999999999999999E-4</v>
      </c>
      <c r="E17" s="1">
        <f>860*10^-6</f>
        <v>8.5999999999999998E-4</v>
      </c>
      <c r="F17" s="1">
        <f>10^-6*980</f>
        <v>9.7999999999999997E-4</v>
      </c>
      <c r="G17" s="1">
        <f>10^-6*1270</f>
        <v>1.2699999999999999E-3</v>
      </c>
      <c r="H17" s="1">
        <f>10^-6*1660</f>
        <v>1.66E-3</v>
      </c>
      <c r="I17" s="1">
        <f>10^-6*1980</f>
        <v>1.98E-3</v>
      </c>
    </row>
    <row r="18" spans="2:12" x14ac:dyDescent="0.25">
      <c r="B18" s="1">
        <v>3</v>
      </c>
      <c r="C18" s="1">
        <f>13*10^-6</f>
        <v>1.2999999999999999E-5</v>
      </c>
      <c r="D18" s="1">
        <f>392*10^-6</f>
        <v>3.9199999999999999E-4</v>
      </c>
      <c r="E18" s="1">
        <f>790*10^-6</f>
        <v>7.9000000000000001E-4</v>
      </c>
      <c r="F18" s="1">
        <f>10^-6*895</f>
        <v>8.9499999999999996E-4</v>
      </c>
      <c r="G18" s="1">
        <f>10^-6*1180</f>
        <v>1.1799999999999998E-3</v>
      </c>
      <c r="H18" s="1">
        <f>10^-6*1570</f>
        <v>1.57E-3</v>
      </c>
      <c r="I18" s="1">
        <f>10^-6*1900</f>
        <v>1.9E-3</v>
      </c>
    </row>
    <row r="19" spans="2:12" x14ac:dyDescent="0.25">
      <c r="B19" s="1">
        <v>4</v>
      </c>
      <c r="C19" s="1">
        <f>32*10^-6</f>
        <v>3.1999999999999999E-5</v>
      </c>
      <c r="D19" s="1">
        <f>407*10^-6</f>
        <v>4.0699999999999997E-4</v>
      </c>
      <c r="E19" s="1">
        <f>800*10^-6</f>
        <v>7.9999999999999993E-4</v>
      </c>
      <c r="F19" s="1">
        <f>10^-6*910</f>
        <v>9.1E-4</v>
      </c>
      <c r="G19" s="1">
        <f>10^-6*1200</f>
        <v>1.1999999999999999E-3</v>
      </c>
      <c r="H19" s="1">
        <f>10^-6*1580</f>
        <v>1.58E-3</v>
      </c>
      <c r="I19" s="1">
        <f>10^-6*1920</f>
        <v>1.9199999999999998E-3</v>
      </c>
    </row>
    <row r="20" spans="2:12" x14ac:dyDescent="0.25">
      <c r="B20" s="1">
        <v>5</v>
      </c>
      <c r="C20" s="1">
        <f>204*10^-6</f>
        <v>2.04E-4</v>
      </c>
      <c r="D20" s="1">
        <f>455*10^-6</f>
        <v>4.55E-4</v>
      </c>
      <c r="E20" s="1">
        <f>800*10^-6</f>
        <v>7.9999999999999993E-4</v>
      </c>
      <c r="F20" s="1">
        <f>10^-6*910</f>
        <v>9.1E-4</v>
      </c>
      <c r="G20" s="1">
        <f>10^-6*1200</f>
        <v>1.1999999999999999E-3</v>
      </c>
      <c r="H20" s="1">
        <f>10^-6*1600</f>
        <v>1.5999999999999999E-3</v>
      </c>
      <c r="I20" s="1">
        <f>10^-6*1930</f>
        <v>1.9299999999999999E-3</v>
      </c>
    </row>
    <row r="21" spans="2:12" x14ac:dyDescent="0.25">
      <c r="B21" s="1">
        <v>6</v>
      </c>
      <c r="C21" s="1">
        <f>450*10^-6</f>
        <v>4.4999999999999999E-4</v>
      </c>
      <c r="D21" s="1">
        <f>842*10^-6</f>
        <v>8.4199999999999998E-4</v>
      </c>
      <c r="E21" s="1">
        <f>1240*10^-6</f>
        <v>1.24E-3</v>
      </c>
      <c r="F21" s="1">
        <f>10^-6*1350</f>
        <v>1.3499999999999999E-3</v>
      </c>
      <c r="G21" s="1">
        <f>10^-6*1640</f>
        <v>1.64E-3</v>
      </c>
      <c r="H21" s="1">
        <f>10^-6*2040</f>
        <v>2.0399999999999997E-3</v>
      </c>
      <c r="I21" s="1">
        <f>10^-6*2350</f>
        <v>2.3500000000000001E-3</v>
      </c>
    </row>
    <row r="22" spans="2:12" x14ac:dyDescent="0.25">
      <c r="B22" s="1">
        <v>7</v>
      </c>
      <c r="C22" s="1">
        <f>160*10^-6</f>
        <v>1.5999999999999999E-4</v>
      </c>
      <c r="D22" s="1">
        <f>550*10^-6</f>
        <v>5.4999999999999992E-4</v>
      </c>
      <c r="E22" s="1">
        <f>950*10^-6</f>
        <v>9.5E-4</v>
      </c>
      <c r="F22" s="1">
        <f>10^-6*1060</f>
        <v>1.06E-3</v>
      </c>
      <c r="G22" s="1">
        <f>10^-6*1350</f>
        <v>1.3499999999999999E-3</v>
      </c>
      <c r="H22" s="1">
        <f>10^-6*1750</f>
        <v>1.7499999999999998E-3</v>
      </c>
      <c r="I22" s="1">
        <f>10^-6*2080</f>
        <v>2.0799999999999998E-3</v>
      </c>
    </row>
    <row r="23" spans="2:12" x14ac:dyDescent="0.25">
      <c r="B23" s="1">
        <v>8</v>
      </c>
      <c r="C23" s="1">
        <f>94*10^-6</f>
        <v>9.3999999999999994E-5</v>
      </c>
      <c r="D23" s="1">
        <f>480*10^-6</f>
        <v>4.7999999999999996E-4</v>
      </c>
      <c r="E23" s="1">
        <f>890*10^-6</f>
        <v>8.8999999999999995E-4</v>
      </c>
      <c r="F23" s="1">
        <f>10^-6*990</f>
        <v>9.8999999999999999E-4</v>
      </c>
      <c r="G23" s="1">
        <f>10^-6*1280</f>
        <v>1.2799999999999999E-3</v>
      </c>
      <c r="H23" s="1">
        <f>10^-6*1670</f>
        <v>1.6699999999999998E-3</v>
      </c>
      <c r="I23" s="1">
        <f>10^-6*2000</f>
        <v>2E-3</v>
      </c>
    </row>
    <row r="24" spans="2:12" x14ac:dyDescent="0.25">
      <c r="B24" s="1">
        <v>9</v>
      </c>
      <c r="C24" s="1">
        <f>130*10^-6</f>
        <v>1.2999999999999999E-4</v>
      </c>
      <c r="D24" s="1">
        <f>530*10^-6</f>
        <v>5.2999999999999998E-4</v>
      </c>
      <c r="E24" s="1">
        <f>924*10^-6</f>
        <v>9.2399999999999991E-4</v>
      </c>
      <c r="F24" s="1">
        <f>10^-6*1030</f>
        <v>1.0299999999999999E-3</v>
      </c>
      <c r="G24" s="1">
        <f>10^-6*1320</f>
        <v>1.32E-3</v>
      </c>
      <c r="H24" s="1">
        <f>10^-6*1720</f>
        <v>1.72E-3</v>
      </c>
      <c r="I24" s="1">
        <f>10^-6*2040</f>
        <v>2.0399999999999997E-3</v>
      </c>
    </row>
    <row r="25" spans="2:12" x14ac:dyDescent="0.25">
      <c r="B25" s="1">
        <v>10</v>
      </c>
      <c r="C25" s="1">
        <f>135*10^-6</f>
        <v>1.35E-4</v>
      </c>
      <c r="D25" s="1">
        <f>400*10^-6</f>
        <v>3.9999999999999996E-4</v>
      </c>
      <c r="E25" s="1">
        <f>800*10^-6</f>
        <v>7.9999999999999993E-4</v>
      </c>
      <c r="F25" s="1">
        <f>10^-6*910</f>
        <v>9.1E-4</v>
      </c>
      <c r="G25" s="1">
        <f>10^-6*1200</f>
        <v>1.1999999999999999E-3</v>
      </c>
      <c r="H25" s="1">
        <f>10^-6*1600</f>
        <v>1.5999999999999999E-3</v>
      </c>
      <c r="I25" s="1">
        <f>10^-6*1920</f>
        <v>1.9199999999999998E-3</v>
      </c>
    </row>
    <row r="28" spans="2:12" x14ac:dyDescent="0.25">
      <c r="B28" s="1" t="s">
        <v>0</v>
      </c>
      <c r="C28" s="1">
        <v>1</v>
      </c>
      <c r="D28" s="1">
        <v>2</v>
      </c>
      <c r="E28" s="1">
        <v>3</v>
      </c>
      <c r="F28" s="1">
        <v>4</v>
      </c>
      <c r="G28" s="1">
        <v>5</v>
      </c>
      <c r="H28" s="1">
        <v>6</v>
      </c>
      <c r="I28" s="1">
        <v>7</v>
      </c>
      <c r="J28" s="1">
        <v>8</v>
      </c>
      <c r="K28" s="1">
        <v>9</v>
      </c>
      <c r="L28" s="1">
        <v>10</v>
      </c>
    </row>
    <row r="29" spans="2:12" x14ac:dyDescent="0.25">
      <c r="B29" s="1" t="s">
        <v>3</v>
      </c>
      <c r="C29" s="1">
        <f>70*10^-6</f>
        <v>6.9999999999999994E-5</v>
      </c>
      <c r="D29" s="1">
        <f>110*10^-6</f>
        <v>1.0999999999999999E-4</v>
      </c>
      <c r="E29" s="1">
        <f>13*10^-6</f>
        <v>1.2999999999999999E-5</v>
      </c>
      <c r="F29" s="1">
        <f>32*10^-6</f>
        <v>3.1999999999999999E-5</v>
      </c>
      <c r="G29" s="1">
        <f>204*10^-6</f>
        <v>2.04E-4</v>
      </c>
      <c r="H29" s="1">
        <f>450*10^-6</f>
        <v>4.4999999999999999E-4</v>
      </c>
      <c r="I29" s="1">
        <f>160*10^-6</f>
        <v>1.5999999999999999E-4</v>
      </c>
      <c r="J29" s="1">
        <f>94*10^-6</f>
        <v>9.3999999999999994E-5</v>
      </c>
      <c r="K29" s="1">
        <f>130*10^-6</f>
        <v>1.2999999999999999E-4</v>
      </c>
      <c r="L29" s="1">
        <f>135*10^-6</f>
        <v>1.35E-4</v>
      </c>
    </row>
    <row r="30" spans="2:12" x14ac:dyDescent="0.25">
      <c r="B30" s="1" t="s">
        <v>4</v>
      </c>
      <c r="C30" s="1">
        <f>424*10^-6</f>
        <v>4.2400000000000001E-4</v>
      </c>
      <c r="D30" s="1">
        <f>470*10^-6</f>
        <v>4.6999999999999999E-4</v>
      </c>
      <c r="E30" s="1">
        <f>392*10^-6</f>
        <v>3.9199999999999999E-4</v>
      </c>
      <c r="F30" s="1">
        <f>407*10^-6</f>
        <v>4.0699999999999997E-4</v>
      </c>
      <c r="G30" s="1">
        <f>455*10^-6</f>
        <v>4.55E-4</v>
      </c>
      <c r="H30" s="1">
        <f>842*10^-6</f>
        <v>8.4199999999999998E-4</v>
      </c>
      <c r="I30" s="1">
        <f>550*10^-6</f>
        <v>5.4999999999999992E-4</v>
      </c>
      <c r="J30" s="1">
        <f>480*10^-6</f>
        <v>4.7999999999999996E-4</v>
      </c>
      <c r="K30" s="1">
        <f>530*10^-6</f>
        <v>5.2999999999999998E-4</v>
      </c>
      <c r="L30" s="1">
        <f>400*10^-6</f>
        <v>3.9999999999999996E-4</v>
      </c>
    </row>
    <row r="31" spans="2:12" x14ac:dyDescent="0.25">
      <c r="B31" s="1" t="s">
        <v>5</v>
      </c>
      <c r="C31" s="1">
        <f>828*10^-6</f>
        <v>8.2799999999999996E-4</v>
      </c>
      <c r="D31" s="1">
        <f>860*10^-6</f>
        <v>8.5999999999999998E-4</v>
      </c>
      <c r="E31" s="1">
        <f>790*10^-6</f>
        <v>7.9000000000000001E-4</v>
      </c>
      <c r="F31" s="1">
        <f>800*10^-6</f>
        <v>7.9999999999999993E-4</v>
      </c>
      <c r="G31" s="1">
        <f>800*10^-6</f>
        <v>7.9999999999999993E-4</v>
      </c>
      <c r="H31" s="1">
        <f>1240*10^-6</f>
        <v>1.24E-3</v>
      </c>
      <c r="I31" s="1">
        <f>950*10^-6</f>
        <v>9.5E-4</v>
      </c>
      <c r="J31" s="1">
        <f>890*10^-6</f>
        <v>8.8999999999999995E-4</v>
      </c>
      <c r="K31" s="1">
        <f>924*10^-6</f>
        <v>9.2399999999999991E-4</v>
      </c>
      <c r="L31" s="1">
        <f>800*10^-6</f>
        <v>7.9999999999999993E-4</v>
      </c>
    </row>
    <row r="32" spans="2:12" x14ac:dyDescent="0.25">
      <c r="B32" s="1" t="s">
        <v>9</v>
      </c>
      <c r="C32" s="1">
        <f>10^-6*945</f>
        <v>9.4499999999999998E-4</v>
      </c>
      <c r="D32" s="1">
        <f>10^-6*980</f>
        <v>9.7999999999999997E-4</v>
      </c>
      <c r="E32" s="1">
        <f>10^-6*895</f>
        <v>8.9499999999999996E-4</v>
      </c>
      <c r="F32" s="1">
        <f>10^-6*910</f>
        <v>9.1E-4</v>
      </c>
      <c r="G32" s="1">
        <f>10^-6*910</f>
        <v>9.1E-4</v>
      </c>
      <c r="H32" s="1">
        <f>10^-6*1350</f>
        <v>1.3499999999999999E-3</v>
      </c>
      <c r="I32" s="1">
        <f>10^-6*1060</f>
        <v>1.06E-3</v>
      </c>
      <c r="J32" s="1">
        <f>10^-6*990</f>
        <v>9.8999999999999999E-4</v>
      </c>
      <c r="K32" s="1">
        <f>10^-6*1030</f>
        <v>1.0299999999999999E-3</v>
      </c>
      <c r="L32" s="1">
        <f>10^-6*910</f>
        <v>9.1E-4</v>
      </c>
    </row>
    <row r="33" spans="2:12" x14ac:dyDescent="0.25">
      <c r="B33" s="1" t="s">
        <v>6</v>
      </c>
      <c r="C33" s="1">
        <f>10^-6*1210</f>
        <v>1.2099999999999999E-3</v>
      </c>
      <c r="D33" s="1">
        <f>10^-6*1270</f>
        <v>1.2699999999999999E-3</v>
      </c>
      <c r="E33" s="1">
        <f>10^-6*1180</f>
        <v>1.1799999999999998E-3</v>
      </c>
      <c r="F33" s="1">
        <f>10^-6*1200</f>
        <v>1.1999999999999999E-3</v>
      </c>
      <c r="G33" s="1">
        <f>10^-6*1200</f>
        <v>1.1999999999999999E-3</v>
      </c>
      <c r="H33" s="1">
        <f>10^-6*1640</f>
        <v>1.64E-3</v>
      </c>
      <c r="I33" s="1">
        <f>10^-6*1350</f>
        <v>1.3499999999999999E-3</v>
      </c>
      <c r="J33" s="1">
        <f>10^-6*1280</f>
        <v>1.2799999999999999E-3</v>
      </c>
      <c r="K33" s="1">
        <f>10^-6*1320</f>
        <v>1.32E-3</v>
      </c>
      <c r="L33" s="1">
        <f>10^-6*1200</f>
        <v>1.1999999999999999E-3</v>
      </c>
    </row>
    <row r="34" spans="2:12" x14ac:dyDescent="0.25">
      <c r="B34" s="1" t="s">
        <v>7</v>
      </c>
      <c r="C34" s="1">
        <f>10^-6*1610</f>
        <v>1.6099999999999999E-3</v>
      </c>
      <c r="D34" s="1">
        <f>10^-6*1660</f>
        <v>1.66E-3</v>
      </c>
      <c r="E34" s="1">
        <f>10^-6*1570</f>
        <v>1.57E-3</v>
      </c>
      <c r="F34" s="1">
        <f>10^-6*1580</f>
        <v>1.58E-3</v>
      </c>
      <c r="G34" s="1">
        <f>10^-6*1600</f>
        <v>1.5999999999999999E-3</v>
      </c>
      <c r="H34" s="1">
        <f>10^-6*2040</f>
        <v>2.0399999999999997E-3</v>
      </c>
      <c r="I34" s="1">
        <f>10^-6*1750</f>
        <v>1.7499999999999998E-3</v>
      </c>
      <c r="J34" s="1">
        <f>10^-6*1670</f>
        <v>1.6699999999999998E-3</v>
      </c>
      <c r="K34" s="1">
        <f>10^-6*1720</f>
        <v>1.72E-3</v>
      </c>
      <c r="L34" s="1">
        <f>10^-6*1600</f>
        <v>1.5999999999999999E-3</v>
      </c>
    </row>
    <row r="35" spans="2:12" x14ac:dyDescent="0.25">
      <c r="B35" s="1" t="s">
        <v>8</v>
      </c>
      <c r="C35" s="1">
        <f>10^-6*1950</f>
        <v>1.9499999999999999E-3</v>
      </c>
      <c r="D35" s="1">
        <f>10^-6*1980</f>
        <v>1.98E-3</v>
      </c>
      <c r="E35" s="1">
        <f>10^-6*1900</f>
        <v>1.9E-3</v>
      </c>
      <c r="F35" s="1">
        <f>10^-6*1920</f>
        <v>1.9199999999999998E-3</v>
      </c>
      <c r="G35" s="1">
        <f>10^-6*1930</f>
        <v>1.9299999999999999E-3</v>
      </c>
      <c r="H35" s="1">
        <f>10^-6*2350</f>
        <v>2.3500000000000001E-3</v>
      </c>
      <c r="I35" s="1">
        <f>10^-6*2080</f>
        <v>2.0799999999999998E-3</v>
      </c>
      <c r="J35" s="1">
        <f>10^-6*2000</f>
        <v>2E-3</v>
      </c>
      <c r="K35" s="1">
        <f>10^-6*2040</f>
        <v>2.0399999999999997E-3</v>
      </c>
      <c r="L35" s="1">
        <f>10^-6*1920</f>
        <v>1.9199999999999998E-3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4510-2B94-422C-AFED-B4131DF78348}">
  <dimension ref="B2:I12"/>
  <sheetViews>
    <sheetView workbookViewId="0">
      <selection activeCell="F47" sqref="F47"/>
    </sheetView>
  </sheetViews>
  <sheetFormatPr defaultRowHeight="15" x14ac:dyDescent="0.25"/>
  <sheetData>
    <row r="2" spans="2:9" x14ac:dyDescent="0.25">
      <c r="B2" s="1" t="s">
        <v>0</v>
      </c>
      <c r="C2" s="1" t="s">
        <v>3</v>
      </c>
      <c r="D2" s="1" t="s">
        <v>4</v>
      </c>
      <c r="E2" s="1" t="s">
        <v>5</v>
      </c>
      <c r="F2" s="1" t="s">
        <v>9</v>
      </c>
      <c r="G2" s="1" t="s">
        <v>6</v>
      </c>
      <c r="H2" s="1" t="s">
        <v>7</v>
      </c>
      <c r="I2" s="1" t="s">
        <v>8</v>
      </c>
    </row>
    <row r="3" spans="2:9" x14ac:dyDescent="0.25">
      <c r="B3" s="1">
        <v>1</v>
      </c>
      <c r="C3" s="1">
        <f>70*10^-6</f>
        <v>6.9999999999999994E-5</v>
      </c>
      <c r="D3" s="1">
        <f>424*10^-6</f>
        <v>4.2400000000000001E-4</v>
      </c>
      <c r="E3" s="1">
        <f>828*10^-6</f>
        <v>8.2799999999999996E-4</v>
      </c>
      <c r="F3" s="1">
        <f>10^-6*945</f>
        <v>9.4499999999999998E-4</v>
      </c>
      <c r="G3" s="1">
        <f>10^-6*1210</f>
        <v>1.2099999999999999E-3</v>
      </c>
      <c r="H3" s="1">
        <f>10^-6*1610</f>
        <v>1.6099999999999999E-3</v>
      </c>
      <c r="I3" s="1">
        <f>10^-6*1950</f>
        <v>1.9499999999999999E-3</v>
      </c>
    </row>
    <row r="4" spans="2:9" x14ac:dyDescent="0.25">
      <c r="B4" s="1">
        <v>2</v>
      </c>
      <c r="C4" s="1">
        <f>110*10^-6</f>
        <v>1.0999999999999999E-4</v>
      </c>
      <c r="D4" s="1">
        <f>470*10^-6</f>
        <v>4.6999999999999999E-4</v>
      </c>
      <c r="E4" s="1">
        <f>860*10^-6</f>
        <v>8.5999999999999998E-4</v>
      </c>
      <c r="F4" s="1">
        <f>10^-6*980</f>
        <v>9.7999999999999997E-4</v>
      </c>
      <c r="G4" s="1">
        <f>10^-6*1270</f>
        <v>1.2699999999999999E-3</v>
      </c>
      <c r="H4" s="1">
        <f>10^-6*1660</f>
        <v>1.66E-3</v>
      </c>
      <c r="I4" s="1">
        <f>10^-6*1980</f>
        <v>1.98E-3</v>
      </c>
    </row>
    <row r="5" spans="2:9" x14ac:dyDescent="0.25">
      <c r="B5" s="1">
        <v>3</v>
      </c>
      <c r="C5" s="1">
        <f>13*10^-6</f>
        <v>1.2999999999999999E-5</v>
      </c>
      <c r="D5" s="1">
        <f>392*10^-6</f>
        <v>3.9199999999999999E-4</v>
      </c>
      <c r="E5" s="1">
        <f>790*10^-6</f>
        <v>7.9000000000000001E-4</v>
      </c>
      <c r="F5" s="1">
        <f>10^-6*895</f>
        <v>8.9499999999999996E-4</v>
      </c>
      <c r="G5" s="1">
        <f>10^-6*1180</f>
        <v>1.1799999999999998E-3</v>
      </c>
      <c r="H5" s="1">
        <f>10^-6*1570</f>
        <v>1.57E-3</v>
      </c>
      <c r="I5" s="1">
        <f>10^-6*1900</f>
        <v>1.9E-3</v>
      </c>
    </row>
    <row r="6" spans="2:9" x14ac:dyDescent="0.25">
      <c r="B6" s="1">
        <v>4</v>
      </c>
      <c r="C6" s="1">
        <f>32*10^-6</f>
        <v>3.1999999999999999E-5</v>
      </c>
      <c r="D6" s="1">
        <f>407*10^-6</f>
        <v>4.0699999999999997E-4</v>
      </c>
      <c r="E6" s="1">
        <f>800*10^-6</f>
        <v>7.9999999999999993E-4</v>
      </c>
      <c r="F6" s="1">
        <f>10^-6*910</f>
        <v>9.1E-4</v>
      </c>
      <c r="G6" s="1">
        <f>10^-6*1200</f>
        <v>1.1999999999999999E-3</v>
      </c>
      <c r="H6" s="1">
        <f>10^-6*1580</f>
        <v>1.58E-3</v>
      </c>
      <c r="I6" s="1">
        <f>10^-6*1920</f>
        <v>1.9199999999999998E-3</v>
      </c>
    </row>
    <row r="7" spans="2:9" x14ac:dyDescent="0.25">
      <c r="B7" s="1">
        <v>5</v>
      </c>
      <c r="C7" s="1">
        <f>204*10^-6</f>
        <v>2.04E-4</v>
      </c>
      <c r="D7" s="1">
        <f>455*10^-6</f>
        <v>4.55E-4</v>
      </c>
      <c r="E7" s="1">
        <f>800*10^-6</f>
        <v>7.9999999999999993E-4</v>
      </c>
      <c r="F7" s="1">
        <f>10^-6*910</f>
        <v>9.1E-4</v>
      </c>
      <c r="G7" s="1">
        <f>10^-6*1200</f>
        <v>1.1999999999999999E-3</v>
      </c>
      <c r="H7" s="1">
        <f>10^-6*1600</f>
        <v>1.5999999999999999E-3</v>
      </c>
      <c r="I7" s="1">
        <f>10^-6*1930</f>
        <v>1.9299999999999999E-3</v>
      </c>
    </row>
    <row r="8" spans="2:9" x14ac:dyDescent="0.25">
      <c r="B8" s="1">
        <v>6</v>
      </c>
      <c r="C8" s="1">
        <f>450*10^-6</f>
        <v>4.4999999999999999E-4</v>
      </c>
      <c r="D8" s="1">
        <f>842*10^-6</f>
        <v>8.4199999999999998E-4</v>
      </c>
      <c r="E8" s="1">
        <f>1240*10^-6</f>
        <v>1.24E-3</v>
      </c>
      <c r="F8" s="1">
        <f>10^-6*1350</f>
        <v>1.3499999999999999E-3</v>
      </c>
      <c r="G8" s="1">
        <f>10^-6*1640</f>
        <v>1.64E-3</v>
      </c>
      <c r="H8" s="1">
        <f>10^-6*2040</f>
        <v>2.0399999999999997E-3</v>
      </c>
      <c r="I8" s="1">
        <f>10^-6*2350</f>
        <v>2.3500000000000001E-3</v>
      </c>
    </row>
    <row r="9" spans="2:9" x14ac:dyDescent="0.25">
      <c r="B9" s="1">
        <v>7</v>
      </c>
      <c r="C9" s="1">
        <f>160*10^-6</f>
        <v>1.5999999999999999E-4</v>
      </c>
      <c r="D9" s="1">
        <f>550*10^-6</f>
        <v>5.4999999999999992E-4</v>
      </c>
      <c r="E9" s="1">
        <f>950*10^-6</f>
        <v>9.5E-4</v>
      </c>
      <c r="F9" s="1">
        <f>10^-6*1060</f>
        <v>1.06E-3</v>
      </c>
      <c r="G9" s="1">
        <f>10^-6*1350</f>
        <v>1.3499999999999999E-3</v>
      </c>
      <c r="H9" s="1">
        <f>10^-6*1750</f>
        <v>1.7499999999999998E-3</v>
      </c>
      <c r="I9" s="1">
        <f>10^-6*2080</f>
        <v>2.0799999999999998E-3</v>
      </c>
    </row>
    <row r="10" spans="2:9" x14ac:dyDescent="0.25">
      <c r="B10" s="1">
        <v>8</v>
      </c>
      <c r="C10" s="1">
        <f>94*10^-6</f>
        <v>9.3999999999999994E-5</v>
      </c>
      <c r="D10" s="1">
        <f>480*10^-6</f>
        <v>4.7999999999999996E-4</v>
      </c>
      <c r="E10" s="1">
        <f>890*10^-6</f>
        <v>8.8999999999999995E-4</v>
      </c>
      <c r="F10" s="1">
        <f>10^-6*990</f>
        <v>9.8999999999999999E-4</v>
      </c>
      <c r="G10" s="1">
        <f>10^-6*1280</f>
        <v>1.2799999999999999E-3</v>
      </c>
      <c r="H10" s="1">
        <f>10^-6*1670</f>
        <v>1.6699999999999998E-3</v>
      </c>
      <c r="I10" s="1">
        <f>10^-6*2000</f>
        <v>2E-3</v>
      </c>
    </row>
    <row r="11" spans="2:9" x14ac:dyDescent="0.25">
      <c r="B11" s="1">
        <v>9</v>
      </c>
      <c r="C11" s="1">
        <f>130*10^-6</f>
        <v>1.2999999999999999E-4</v>
      </c>
      <c r="D11" s="1">
        <f>530*10^-6</f>
        <v>5.2999999999999998E-4</v>
      </c>
      <c r="E11" s="1">
        <f>924*10^-6</f>
        <v>9.2399999999999991E-4</v>
      </c>
      <c r="F11" s="1">
        <f>10^-6*1030</f>
        <v>1.0299999999999999E-3</v>
      </c>
      <c r="G11" s="1">
        <f>10^-6*1320</f>
        <v>1.32E-3</v>
      </c>
      <c r="H11" s="1">
        <f>10^-6*1720</f>
        <v>1.72E-3</v>
      </c>
      <c r="I11" s="1">
        <f>10^-6*2040</f>
        <v>2.0399999999999997E-3</v>
      </c>
    </row>
    <row r="12" spans="2:9" x14ac:dyDescent="0.25">
      <c r="B12" s="1">
        <v>10</v>
      </c>
      <c r="C12" s="1">
        <f>135*10^-6</f>
        <v>1.35E-4</v>
      </c>
      <c r="D12" s="1">
        <f>400*10^-6</f>
        <v>3.9999999999999996E-4</v>
      </c>
      <c r="E12" s="1">
        <f>800*10^-6</f>
        <v>7.9999999999999993E-4</v>
      </c>
      <c r="F12" s="1">
        <f>10^-6*910</f>
        <v>9.1E-4</v>
      </c>
      <c r="G12" s="1">
        <f>10^-6*1200</f>
        <v>1.1999999999999999E-3</v>
      </c>
      <c r="H12" s="1">
        <f>10^-6*1600</f>
        <v>1.5999999999999999E-3</v>
      </c>
      <c r="I12" s="1">
        <f>10^-6*1920</f>
        <v>1.9199999999999998E-3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Ervin</dc:creator>
  <cp:lastModifiedBy>Lauren Ervin</cp:lastModifiedBy>
  <dcterms:created xsi:type="dcterms:W3CDTF">2025-02-28T16:38:21Z</dcterms:created>
  <dcterms:modified xsi:type="dcterms:W3CDTF">2025-03-07T00:50:41Z</dcterms:modified>
</cp:coreProperties>
</file>